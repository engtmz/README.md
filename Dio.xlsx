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name="taxa_mensal">'Página1'!$B$12</definedName>
    <definedName name="Aporte">'Página1'!$B$10</definedName>
    <definedName name="redimento_carteira">'Página1'!$E$11</definedName>
    <definedName name="qtd_anos">'Página1'!$B$11</definedName>
  </definedNames>
  <calcPr/>
</workbook>
</file>

<file path=xl/sharedStrings.xml><?xml version="1.0" encoding="utf-8"?>
<sst xmlns="http://schemas.openxmlformats.org/spreadsheetml/2006/main" count="69" uniqueCount="34">
  <si>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</si>
  <si>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</si>
  <si>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</si>
  <si>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</si>
  <si>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</si>
  <si>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</si>
  <si>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</si>
  <si>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</si>
  <si>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</si>
  <si>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</si>
  <si>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</si>
  <si>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</si>
  <si>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</si>
  <si>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INVESTIMENTO MENSAL</t>
  </si>
  <si>
    <t>Configurações</t>
  </si>
  <si>
    <t>Quanto investir por mês?</t>
  </si>
  <si>
    <t>Salário</t>
  </si>
  <si>
    <t>Por quantos anos?</t>
  </si>
  <si>
    <t>Rendimento carteira</t>
  </si>
  <si>
    <t>Taxa de rendimento mensal?</t>
  </si>
  <si>
    <t>Sugestão investimento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</si>
  <si>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</si>
  <si>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</si>
  <si>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</si>
  <si>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</si>
  <si>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</si>
  <si>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</si>
  <si>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</si>
  <si>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</si>
  <si>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</si>
  <si>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</si>
  <si>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Valor a ser investido por mês</t>
  </si>
  <si>
    <t>Percentual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</si>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</sst>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&quot;R$&quot;\ #,##0.00"/>
  </numFmts>
  <fonts count="6">
    <font>
      <sz val="10.0"/>
      <color rgb="FF000000"/>
      <name val="Arial"/>
      <scheme val="minor"/>
    </font>
    <font>
      <sz val="11.0"/>
      <color rgb="FFFFFFFF"/>
      <name val="Aptos Narrow"/>
    </font>
    <font>
      <sz val="11.0"/>
      <color theme="1"/>
      <name val="Aptos Narrow"/>
    </font>
    <font>
      <color theme="1"/>
      <name val="Arial"/>
      <scheme val="minor"/>
    </font>
    <font/>
    <font>
      <b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AEAEAE"/>
        <bgColor rgb="FFAEAEAE"/>
      </patternFill>
    </fill>
    <fill>
      <patternFill patternType="solid">
        <fgColor rgb="FFF2F2F2"/>
        <bgColor rgb="FFF2F2F2"/>
      </patternFill>
    </fill>
  </fills>
  <borders count="6">
    <border/>
    <border>
      <left/>
      <right/>
      <top/>
      <bottom/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9" xfId="0" applyAlignment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9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9" xfId="0" applyAlignment="1" applyBorder="1" applyFill="1" applyFont="1" applyNumberFormat="1">
      <alignment horizontal="center" vertical="bottom"/>
    </xf>
    <xf borderId="3" fillId="0" fontId="3" numFmtId="0" xfId="0" applyAlignment="1" applyBorder="1" applyFont="1">
      <alignment horizontal="center" readingOrder="0"/>
    </xf>
    <xf borderId="4" fillId="0" fontId="4" numFmtId="0" xfId="0" applyBorder="1" applyFont="1"/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5" fillId="0" fontId="3" numFmtId="10" xfId="0" applyAlignment="1" applyBorder="1" applyFont="1" applyNumberFormat="1">
      <alignment readingOrder="0"/>
    </xf>
    <xf borderId="0" fillId="0" fontId="3" numFmtId="164" xfId="0" applyFont="1" applyNumberFormat="1"/>
    <xf borderId="5" fillId="0" fontId="3" numFmtId="164" xfId="0" applyBorder="1" applyFont="1" applyNumberFormat="1"/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1" fillId="4" fontId="5" numFmtId="0" xfId="0" applyAlignment="1" applyBorder="1" applyFill="1" applyFont="1">
      <alignment horizontal="center" vertical="bottom"/>
    </xf>
    <xf borderId="1" fillId="5" fontId="2" numFmtId="165" xfId="0" applyAlignment="1" applyBorder="1" applyFill="1" applyFont="1" applyNumberFormat="1">
      <alignment horizontal="center" vertical="bottom"/>
    </xf>
    <xf borderId="1" fillId="4" fontId="2" numFmtId="0" xfId="0" applyAlignment="1" applyBorder="1" applyFill="1" applyFont="1">
      <alignment vertical="bottom"/>
    </xf>
    <xf borderId="1" fillId="4" fontId="5" numFmtId="165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Percentual Sugerido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'Página1'!$B$26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'Página1'!$A$27:$A$32</c:f>
            </c:strRef>
          </c:cat>
          <c:val>
            <c:numRef>
              <c:f>'Página1'!$B$27:$B$32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33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152400</xdr:colOff>
      <xdr:row>0</xdr:row>
      <xdr:rowOff>152400</xdr:rowOff>
    </xdr:from>
    <xdr:ext cx="6591300" cy="1409700"/>
    <xdr:grpSp>
      <xdr:nvGrpSpPr>
        <xdr:cNvPr id="2" name="Shape 2" title="Desenho"/>
        <xdr:cNvGrpSpPr/>
      </xdr:nvGrpSpPr>
      <xdr:grpSpPr>
        <a:xfrm>
          <a:off x="356400" y="244750"/>
          <a:ext cx="6567600" cy="1390800"/>
          <a:chOff x="356400" y="244750"/>
          <a:chExt cx="6567600" cy="1390800"/>
        </a:xfrm>
      </xdr:grpSpPr>
      <xdr:sp>
        <xdr:nvSpPr>
          <xdr:cNvPr id="3" name="Shape 3"/>
          <xdr:cNvSpPr/>
        </xdr:nvSpPr>
        <xdr:spPr>
          <a:xfrm>
            <a:off x="356400" y="244750"/>
            <a:ext cx="6567600" cy="13908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32850" y="503650"/>
            <a:ext cx="2751000" cy="873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300"/>
              <a:t>T M INVEST</a:t>
            </a:r>
            <a:endParaRPr sz="33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8.88"/>
    <col customWidth="1" min="4" max="4" width="17.88"/>
    <col hidden="1" min="7" max="26" width="12.63"/>
  </cols>
  <sheetData>
    <row r="9">
      <c r="A9" s="12" t="s">
        <v>13</v>
      </c>
      <c r="B9" s="13"/>
      <c r="D9" s="14" t="s">
        <v>14</v>
      </c>
    </row>
    <row r="10">
      <c r="A10" s="15" t="s">
        <v>15</v>
      </c>
      <c r="B10" s="16">
        <v>500.0</v>
      </c>
      <c r="D10" s="17" t="s">
        <v>16</v>
      </c>
      <c r="E10" s="18">
        <v>5000.0</v>
      </c>
    </row>
    <row r="11">
      <c r="A11" s="15" t="s">
        <v>17</v>
      </c>
      <c r="B11" s="15">
        <v>5.0</v>
      </c>
      <c r="D11" s="17" t="s">
        <v>18</v>
      </c>
      <c r="E11" s="19">
        <v>0.01</v>
      </c>
    </row>
    <row r="12">
      <c r="A12" s="15" t="s">
        <v>19</v>
      </c>
      <c r="B12" s="20">
        <v>0.01079</v>
      </c>
      <c r="D12" s="17" t="s">
        <v>20</v>
      </c>
      <c r="E12" s="21">
        <f>E10*30%</f>
        <v>1500</v>
      </c>
    </row>
    <row r="13">
      <c r="A13" s="15" t="s">
        <v>21</v>
      </c>
      <c r="B13" s="22">
        <f>FV(B12,B11*12,B10)*-1</f>
        <v>41888.457</v>
      </c>
    </row>
    <row r="14">
      <c r="A14" s="15" t="s">
        <v>22</v>
      </c>
      <c r="B14" s="22">
        <f>B13*E11</f>
        <v>418.88457</v>
      </c>
    </row>
    <row r="16">
      <c r="A16" s="23" t="s">
        <v>23</v>
      </c>
      <c r="B16" s="24"/>
      <c r="C16" s="23" t="s">
        <v>24</v>
      </c>
    </row>
    <row r="17">
      <c r="A17" s="23" t="s">
        <v>25</v>
      </c>
      <c r="B17" s="25">
        <f>FV(B12,2*12,B10)*-1</f>
        <v>13613.81365</v>
      </c>
      <c r="C17" s="25">
        <f>B17*redimento_carteira</f>
        <v>136.1381365</v>
      </c>
    </row>
    <row r="18">
      <c r="A18" s="23" t="s">
        <v>26</v>
      </c>
      <c r="B18" s="25">
        <f>B13</f>
        <v>41888.457</v>
      </c>
      <c r="C18" s="25">
        <f>B18*redimento_carteira</f>
        <v>418.88457</v>
      </c>
    </row>
    <row r="19">
      <c r="A19" s="23" t="s">
        <v>27</v>
      </c>
      <c r="B19" s="25">
        <f>FV(B12,10*12,B10)*-1</f>
        <v>121642.1063</v>
      </c>
      <c r="C19" s="25">
        <f>B19*redimento_carteira</f>
        <v>1216.421063</v>
      </c>
    </row>
    <row r="20">
      <c r="A20" s="23" t="s">
        <v>28</v>
      </c>
      <c r="B20" s="25">
        <f>FV(B12,20*12,B10)*-1</f>
        <v>562599.2</v>
      </c>
      <c r="C20" s="25">
        <f>B20*redimento_carteira</f>
        <v>5625.992</v>
      </c>
    </row>
    <row r="21">
      <c r="A21" s="23" t="s">
        <v>29</v>
      </c>
      <c r="B21" s="25">
        <f>FV(B12,30*12,B10)*-1</f>
        <v>2161084.828</v>
      </c>
      <c r="C21" s="25">
        <f>B21*redimento_carteira</f>
        <v>21610.84828</v>
      </c>
    </row>
    <row r="23">
      <c r="A23" s="17" t="s">
        <v>30</v>
      </c>
      <c r="B23" s="17" t="s">
        <v>11</v>
      </c>
    </row>
    <row r="24">
      <c r="A24" s="17" t="s">
        <v>31</v>
      </c>
      <c r="B24" s="21">
        <f>Aporte</f>
        <v>500</v>
      </c>
    </row>
    <row r="26">
      <c r="A26" s="26" t="s">
        <v>2</v>
      </c>
      <c r="B26" s="26" t="s">
        <v>32</v>
      </c>
      <c r="C26" s="26" t="s">
        <v>33</v>
      </c>
    </row>
    <row r="27">
      <c r="A27" s="4" t="s">
        <v>5</v>
      </c>
      <c r="B27" s="5">
        <f>VLOOKUP($B$23&amp;"-"&amp;A27,'Página2'!$A$1:$D$19,4,FALSE())</f>
        <v>0.32</v>
      </c>
      <c r="C27" s="27">
        <f t="shared" ref="C27:C32" si="1">B27*$B$24</f>
        <v>160</v>
      </c>
    </row>
    <row r="28">
      <c r="A28" s="4" t="s">
        <v>6</v>
      </c>
      <c r="B28" s="5">
        <f>VLOOKUP($B$23&amp;"-"&amp;A28,'Página2'!$A$1:$D$19,4,FALSE())</f>
        <v>0.35</v>
      </c>
      <c r="C28" s="27">
        <f t="shared" si="1"/>
        <v>175</v>
      </c>
    </row>
    <row r="29">
      <c r="A29" s="4" t="s">
        <v>7</v>
      </c>
      <c r="B29" s="5">
        <f>VLOOKUP($B$23&amp;"-"&amp;A29,'Página2'!$A$1:$D$19,4,FALSE())</f>
        <v>0.08</v>
      </c>
      <c r="C29" s="27">
        <f t="shared" si="1"/>
        <v>40</v>
      </c>
    </row>
    <row r="30">
      <c r="A30" s="4" t="s">
        <v>8</v>
      </c>
      <c r="B30" s="5">
        <f>VLOOKUP($B$23&amp;"-"&amp;A30,'Página2'!$A$1:$D$19,4,FALSE())</f>
        <v>0.05</v>
      </c>
      <c r="C30" s="27">
        <f t="shared" si="1"/>
        <v>25</v>
      </c>
    </row>
    <row r="31">
      <c r="A31" s="4" t="s">
        <v>9</v>
      </c>
      <c r="B31" s="5">
        <f>VLOOKUP($B$23&amp;"-"&amp;A31,'Página2'!$A$1:$D$19,4,FALSE())</f>
        <v>0.1</v>
      </c>
      <c r="C31" s="27">
        <f t="shared" si="1"/>
        <v>50</v>
      </c>
    </row>
    <row r="32">
      <c r="A32" s="4" t="s">
        <v>10</v>
      </c>
      <c r="B32" s="5">
        <f>VLOOKUP($B$23&amp;"-"&amp;A32,'Página2'!$A$1:$D$19,4,FALSE())</f>
        <v>0.1</v>
      </c>
      <c r="C32" s="27">
        <f t="shared" si="1"/>
        <v>50</v>
      </c>
    </row>
    <row r="33">
      <c r="A33" s="28"/>
      <c r="B33" s="28"/>
      <c r="C33" s="29">
        <f>SUM(C27:C32)</f>
        <v>500</v>
      </c>
    </row>
  </sheetData>
  <mergeCells count="2">
    <mergeCell ref="D9:E9"/>
    <mergeCell ref="A9:B9"/>
  </mergeCells>
  <dataValidations>
    <dataValidation type="list" allowBlank="1" showErrorMessage="1" sqref="B23">
      <formula1>"Conservador,Moderado,Agressivo"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tr">
        <f t="shared" ref="A2:A19" si="1">B2&amp;"-"&amp;C2</f>
        <v>Conservador-PAPEL</v>
      </c>
      <c r="B2" s="3" t="s">
        <v>4</v>
      </c>
      <c r="C2" s="4" t="s">
        <v>5</v>
      </c>
      <c r="D2" s="5">
        <v>0.3</v>
      </c>
    </row>
    <row r="3">
      <c r="A3" s="3" t="str">
        <f t="shared" si="1"/>
        <v>Conservador-TIJOLO</v>
      </c>
      <c r="B3" s="3" t="s">
        <v>4</v>
      </c>
      <c r="C3" s="4" t="s">
        <v>6</v>
      </c>
      <c r="D3" s="5">
        <v>0.5</v>
      </c>
    </row>
    <row r="4">
      <c r="A4" s="3" t="str">
        <f t="shared" si="1"/>
        <v>Conservador-HÍBRIDOS</v>
      </c>
      <c r="B4" s="3" t="s">
        <v>4</v>
      </c>
      <c r="C4" s="4" t="s">
        <v>7</v>
      </c>
      <c r="D4" s="5">
        <v>0.1</v>
      </c>
    </row>
    <row r="5">
      <c r="A5" s="3" t="str">
        <f t="shared" si="1"/>
        <v>Conservador-FOFs</v>
      </c>
      <c r="B5" s="3" t="s">
        <v>4</v>
      </c>
      <c r="C5" s="4" t="s">
        <v>8</v>
      </c>
      <c r="D5" s="5">
        <v>0.1</v>
      </c>
    </row>
    <row r="6">
      <c r="A6" s="3" t="str">
        <f t="shared" si="1"/>
        <v>Conservador-DESENVOLVIMENTO</v>
      </c>
      <c r="B6" s="3" t="s">
        <v>4</v>
      </c>
      <c r="C6" s="4" t="s">
        <v>9</v>
      </c>
      <c r="D6" s="5">
        <v>0.0</v>
      </c>
    </row>
    <row r="7">
      <c r="A7" s="6" t="str">
        <f t="shared" si="1"/>
        <v>Conservador-HOTELARIAS</v>
      </c>
      <c r="B7" s="6" t="s">
        <v>4</v>
      </c>
      <c r="C7" s="7" t="s">
        <v>10</v>
      </c>
      <c r="D7" s="8">
        <v>0.0</v>
      </c>
    </row>
    <row r="8">
      <c r="A8" s="3" t="str">
        <f t="shared" si="1"/>
        <v>Moderado-PAPEL</v>
      </c>
      <c r="B8" s="3" t="s">
        <v>11</v>
      </c>
      <c r="C8" s="4" t="s">
        <v>5</v>
      </c>
      <c r="D8" s="5">
        <v>0.32</v>
      </c>
    </row>
    <row r="9">
      <c r="A9" s="9" t="str">
        <f t="shared" si="1"/>
        <v>Moderado-TIJOLO</v>
      </c>
      <c r="B9" s="9" t="s">
        <v>11</v>
      </c>
      <c r="C9" s="10" t="s">
        <v>6</v>
      </c>
      <c r="D9" s="11">
        <v>0.35</v>
      </c>
    </row>
    <row r="10">
      <c r="A10" s="3" t="str">
        <f t="shared" si="1"/>
        <v>Moderado-HÍBRIDOS</v>
      </c>
      <c r="B10" s="3" t="s">
        <v>11</v>
      </c>
      <c r="C10" s="4" t="s">
        <v>7</v>
      </c>
      <c r="D10" s="5">
        <v>0.08</v>
      </c>
    </row>
    <row r="11">
      <c r="A11" s="3" t="str">
        <f t="shared" si="1"/>
        <v>Moderado-FOFs</v>
      </c>
      <c r="B11" s="3" t="s">
        <v>11</v>
      </c>
      <c r="C11" s="4" t="s">
        <v>8</v>
      </c>
      <c r="D11" s="5">
        <v>0.05</v>
      </c>
    </row>
    <row r="12">
      <c r="A12" s="3" t="str">
        <f t="shared" si="1"/>
        <v>Moderado-DESENVOLVIMENTO</v>
      </c>
      <c r="B12" s="3" t="s">
        <v>11</v>
      </c>
      <c r="C12" s="4" t="s">
        <v>9</v>
      </c>
      <c r="D12" s="5">
        <v>0.1</v>
      </c>
    </row>
    <row r="13">
      <c r="A13" s="6" t="str">
        <f t="shared" si="1"/>
        <v>Moderado-HOTELARIAS</v>
      </c>
      <c r="B13" s="6" t="s">
        <v>11</v>
      </c>
      <c r="C13" s="7" t="s">
        <v>10</v>
      </c>
      <c r="D13" s="8">
        <v>0.1</v>
      </c>
    </row>
    <row r="14">
      <c r="A14" s="3" t="str">
        <f t="shared" si="1"/>
        <v>Agressivo-PAPEL</v>
      </c>
      <c r="B14" s="3" t="s">
        <v>12</v>
      </c>
      <c r="C14" s="4" t="s">
        <v>5</v>
      </c>
      <c r="D14" s="5">
        <v>0.5</v>
      </c>
    </row>
    <row r="15">
      <c r="A15" s="3" t="str">
        <f t="shared" si="1"/>
        <v>Agressivo-TIJOLO</v>
      </c>
      <c r="B15" s="3" t="s">
        <v>12</v>
      </c>
      <c r="C15" s="4" t="s">
        <v>6</v>
      </c>
      <c r="D15" s="5">
        <v>0.1</v>
      </c>
    </row>
    <row r="16">
      <c r="A16" s="3" t="str">
        <f t="shared" si="1"/>
        <v>Agressivo-HÍBRIDOS</v>
      </c>
      <c r="B16" s="3" t="s">
        <v>12</v>
      </c>
      <c r="C16" s="4" t="s">
        <v>7</v>
      </c>
      <c r="D16" s="5">
        <v>0.05</v>
      </c>
    </row>
    <row r="17">
      <c r="A17" s="3" t="str">
        <f t="shared" si="1"/>
        <v>Agressivo-FOFs</v>
      </c>
      <c r="B17" s="3" t="s">
        <v>12</v>
      </c>
      <c r="C17" s="4" t="s">
        <v>8</v>
      </c>
      <c r="D17" s="5">
        <v>0.05</v>
      </c>
    </row>
    <row r="18">
      <c r="A18" s="3" t="str">
        <f t="shared" si="1"/>
        <v>Agressivo-DESENVOLVIMENTO</v>
      </c>
      <c r="B18" s="3" t="s">
        <v>12</v>
      </c>
      <c r="C18" s="4" t="s">
        <v>9</v>
      </c>
      <c r="D18" s="5">
        <v>0.2</v>
      </c>
    </row>
    <row r="19">
      <c r="A19" s="3" t="str">
        <f t="shared" si="1"/>
        <v>Agressivo-HOTELARIAS</v>
      </c>
      <c r="B19" s="3" t="s">
        <v>12</v>
      </c>
      <c r="C19" s="4" t="s">
        <v>10</v>
      </c>
      <c r="D19" s="5">
        <v>0.1</v>
      </c>
    </row>
  </sheetData>
  <drawing r:id="rId1"/>
</worksheet>
</file>